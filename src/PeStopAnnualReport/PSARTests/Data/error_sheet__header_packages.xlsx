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u\GitHub\PeStop\src\PeStopAnnualReport\PSARTests\Data\"/>
    </mc:Choice>
  </mc:AlternateContent>
  <xr:revisionPtr revIDLastSave="0" documentId="13_ncr:1_{0DAB3514-27D2-4FF0-9F5A-0806F27F1BA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achete" sheetId="1" r:id="rId1"/>
    <sheet name="cursuri" sheetId="2" r:id="rId2"/>
    <sheet name="volunta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C13" i="1"/>
  <c r="C11" i="1"/>
  <c r="C10" i="1"/>
  <c r="C9" i="1"/>
  <c r="C8" i="1"/>
  <c r="C7" i="1"/>
  <c r="C6" i="1"/>
  <c r="C5" i="1"/>
  <c r="C3" i="1"/>
  <c r="C2" i="1"/>
</calcChain>
</file>

<file path=xl/sharedStrings.xml><?xml version="1.0" encoding="utf-8"?>
<sst xmlns="http://schemas.openxmlformats.org/spreadsheetml/2006/main" count="28" uniqueCount="26">
  <si>
    <t>an</t>
  </si>
  <si>
    <t>luna</t>
  </si>
  <si>
    <t>nr_pac_tulcea</t>
  </si>
  <si>
    <t>nr_pac_vaslui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</si>
  <si>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</si>
  <si>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</si>
  <si>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</si>
  <si>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</si>
  <si>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</si>
  <si>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</si>
  <si>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</si>
  <si>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</si>
  <si>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</si>
  <si>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</si>
  <si>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</si>
  <si>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</si>
  <si>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</t>
  </si>
  <si>
    <t>nr_participanti</t>
  </si>
  <si>
    <t>durata_minute</t>
  </si>
  <si>
    <t>tematica</t>
  </si>
  <si>
    <t>corp_consimtamant</t>
  </si>
  <si>
    <t>educatie_menstruala</t>
  </si>
  <si>
    <t>voluntari_buc</t>
  </si>
  <si>
    <t>voluntari_tulcea</t>
  </si>
  <si>
    <t>voluntari_vaslui</t>
  </si>
  <si>
    <t>nr_pac_bucu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</si>
</sst>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C2" sqref="C2"/>
    </sheetView>
  </sheetViews>
  <sheetFormatPr defaultColWidth="12.609375" defaultRowHeight="15.75" customHeight="1" x14ac:dyDescent="0.4"/>
  <cols>
    <col min="4" max="4" width="13.8867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</row>
    <row r="2" spans="1:5" ht="15.75" customHeight="1" x14ac:dyDescent="0.4">
      <c r="A2" s="1">
        <v>2025</v>
      </c>
      <c r="B2" s="1" t="s">
        <v>4</v>
      </c>
      <c r="C2" s="1">
        <f ca="1">IFERROR(__xludf.DUMMYFUNCTION("importrange(""https://docs.google.com/spreadsheets/d/1_euHfeY7S3jgqXK1kAnatxKzNaPplzMUordedR37MTM/edit?gid=0#gid=0"",""Ianuarie_2025!G1"")"),574)</f>
        <v>574</v>
      </c>
      <c r="D2" s="1">
        <v>48</v>
      </c>
      <c r="E2" s="1">
        <v>50</v>
      </c>
    </row>
    <row r="3" spans="1:5" ht="15.75" customHeight="1" x14ac:dyDescent="0.4">
      <c r="A3" s="1">
        <v>2025</v>
      </c>
      <c r="B3" s="1" t="s">
        <v>5</v>
      </c>
      <c r="C3" s="1">
        <f ca="1">IFERROR(__xludf.DUMMYFUNCTION("importrange(""https://docs.google.com/spreadsheets/d/1_euHfeY7S3jgqXK1kAnatxKzNaPplzMUordedR37MTM/edit?gid=0#gid=0"",""Februarie 2025!G1"")"),550)</f>
        <v>550</v>
      </c>
      <c r="D3" s="1">
        <v>48</v>
      </c>
      <c r="E3" s="1">
        <v>50</v>
      </c>
    </row>
    <row r="4" spans="1:5" ht="15.75" customHeight="1" x14ac:dyDescent="0.4">
      <c r="A4" s="1">
        <v>2025</v>
      </c>
      <c r="B4" s="1" t="s">
        <v>6</v>
      </c>
      <c r="C4" s="1">
        <v>0</v>
      </c>
      <c r="D4" s="1">
        <v>48</v>
      </c>
      <c r="E4" s="1">
        <v>50</v>
      </c>
    </row>
    <row r="5" spans="1:5" ht="15.75" customHeight="1" x14ac:dyDescent="0.4">
      <c r="A5" s="1">
        <v>2025</v>
      </c>
      <c r="B5" s="1" t="s">
        <v>7</v>
      </c>
      <c r="C5" s="1">
        <f ca="1">IFERROR(__xludf.DUMMYFUNCTION("importrange(""https://docs.google.com/spreadsheets/d/1_euHfeY7S3jgqXK1kAnatxKzNaPplzMUordedR37MTM/edit?gid=0#gid=0"",""Aprilie 2025!G1"")"),0)</f>
        <v>0</v>
      </c>
      <c r="D5" s="1">
        <v>48</v>
      </c>
      <c r="E5" s="1">
        <v>50</v>
      </c>
    </row>
    <row r="6" spans="1:5" ht="15.75" customHeight="1" x14ac:dyDescent="0.4">
      <c r="A6" s="1">
        <v>2025</v>
      </c>
      <c r="B6" s="1" t="s">
        <v>8</v>
      </c>
      <c r="C6" s="1">
        <f ca="1">IFERROR(__xludf.DUMMYFUNCTION("importrange(""https://docs.google.com/spreadsheets/d/1_euHfeY7S3jgqXK1kAnatxKzNaPplzMUordedR37MTM/edit?gid=0#gid=0"",""Mai 2025!G1"")"),602)</f>
        <v>602</v>
      </c>
      <c r="D6" s="1">
        <v>48</v>
      </c>
      <c r="E6" s="1">
        <v>50</v>
      </c>
    </row>
    <row r="7" spans="1:5" ht="15.75" customHeight="1" x14ac:dyDescent="0.4">
      <c r="A7" s="1">
        <v>2025</v>
      </c>
      <c r="B7" s="1" t="s">
        <v>9</v>
      </c>
      <c r="C7" s="1">
        <f ca="1">IFERROR(__xludf.DUMMYFUNCTION("importrange(""https://docs.google.com/spreadsheets/d/1_euHfeY7S3jgqXK1kAnatxKzNaPplzMUordedR37MTM/edit?gid=0#gid=0"",""Iunie 2025!G1"")"),551)</f>
        <v>551</v>
      </c>
      <c r="D7" s="1">
        <v>48</v>
      </c>
      <c r="E7" s="1">
        <v>50</v>
      </c>
    </row>
    <row r="8" spans="1:5" ht="15.75" customHeight="1" x14ac:dyDescent="0.4">
      <c r="A8" s="1">
        <v>2025</v>
      </c>
      <c r="B8" s="1" t="s">
        <v>10</v>
      </c>
      <c r="C8" s="1">
        <f ca="1">IFERROR(__xludf.DUMMYFUNCTION("importrange(""https://docs.google.com/spreadsheets/d/1_euHfeY7S3jgqXK1kAnatxKzNaPplzMUordedR37MTM/edit?gid=0#gid=0"",""Iulie 2025!G1"")"),607)</f>
        <v>607</v>
      </c>
      <c r="D8" s="1">
        <v>48</v>
      </c>
      <c r="E8" s="1">
        <v>50</v>
      </c>
    </row>
    <row r="9" spans="1:5" ht="15.75" customHeight="1" x14ac:dyDescent="0.4">
      <c r="A9" s="1">
        <v>2025</v>
      </c>
      <c r="B9" s="1" t="s">
        <v>11</v>
      </c>
      <c r="C9" s="1">
        <f ca="1">IFERROR(__xludf.DUMMYFUNCTION("importrange(""https://docs.google.com/spreadsheets/d/1_euHfeY7S3jgqXK1kAnatxKzNaPplzMUordedR37MTM/edit?gid=0#gid=0"",""August 2025!G1"")"),0)</f>
        <v>0</v>
      </c>
      <c r="D9" s="1">
        <v>48</v>
      </c>
      <c r="E9" s="1">
        <v>50</v>
      </c>
    </row>
    <row r="10" spans="1:5" ht="15.75" customHeight="1" x14ac:dyDescent="0.4">
      <c r="A10" s="1">
        <v>2025</v>
      </c>
      <c r="B10" s="1" t="s">
        <v>12</v>
      </c>
      <c r="C10" s="1">
        <f ca="1">IFERROR(__xludf.DUMMYFUNCTION("importrange(""https://docs.google.com/spreadsheets/d/1_euHfeY7S3jgqXK1kAnatxKzNaPplzMUordedR37MTM/edit?gid=0#gid=0"",""Septembrie 2025!G1"")"),0)</f>
        <v>0</v>
      </c>
      <c r="D10" s="1">
        <v>48</v>
      </c>
      <c r="E10" s="1"/>
    </row>
    <row r="11" spans="1:5" ht="15.75" customHeight="1" x14ac:dyDescent="0.4">
      <c r="A11" s="1">
        <v>2025</v>
      </c>
      <c r="B11" s="1" t="s">
        <v>13</v>
      </c>
      <c r="C11" s="1">
        <f ca="1">IFERROR(__xludf.DUMMYFUNCTION("importrange(""https://docs.google.com/spreadsheets/d/1_euHfeY7S3jgqXK1kAnatxKzNaPplzMUordedR37MTM/edit?gid=0#gid=0"",""Octombrie 2025!G1"")"),0)</f>
        <v>0</v>
      </c>
      <c r="D11" s="1">
        <v>48</v>
      </c>
      <c r="E11" s="1">
        <v>50</v>
      </c>
    </row>
    <row r="12" spans="1:5" ht="15.75" customHeight="1" x14ac:dyDescent="0.4">
      <c r="A12" s="1">
        <v>2025</v>
      </c>
      <c r="B12" s="1" t="s">
        <v>14</v>
      </c>
      <c r="C12" s="1">
        <v>0</v>
      </c>
      <c r="D12" s="1">
        <v>48</v>
      </c>
      <c r="E12" s="1">
        <v>50</v>
      </c>
    </row>
    <row r="13" spans="1:5" ht="15.75" customHeight="1" x14ac:dyDescent="0.4">
      <c r="A13" s="1">
        <v>2025</v>
      </c>
      <c r="B13" s="1" t="s">
        <v>15</v>
      </c>
      <c r="C13" s="1">
        <f ca="1">IFERROR(__xludf.DUMMYFUNCTION("importrange(""https://docs.google.com/spreadsheets/d/1_euHfeY7S3jgqXK1kAnatxKzNaPplzMUordedR37MTM/edit?gid=0#gid=0"",""Decembrie 2025!G1"")"),0)</f>
        <v>0</v>
      </c>
      <c r="D13" s="1">
        <v>48</v>
      </c>
      <c r="E13" s="1">
        <v>50</v>
      </c>
    </row>
    <row r="14" spans="1:5" ht="15.75" customHeight="1" x14ac:dyDescent="0.4">
      <c r="A14" s="2"/>
      <c r="B14" s="2"/>
    </row>
    <row r="15" spans="1:5" ht="15.75" customHeight="1" x14ac:dyDescent="0.4">
      <c r="A15" s="2"/>
      <c r="B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>
      <selection activeCell="D26" sqref="D26"/>
    </sheetView>
  </sheetViews>
  <sheetFormatPr defaultColWidth="12.609375" defaultRowHeight="15.75" customHeight="1" x14ac:dyDescent="0.4"/>
  <sheetData>
    <row r="1" spans="1:4" ht="15.75" customHeight="1" x14ac:dyDescent="0.4">
      <c r="A1" s="1" t="s">
        <v>16</v>
      </c>
      <c r="B1" s="1" t="s">
        <v>17</v>
      </c>
      <c r="C1" s="1" t="s">
        <v>18</v>
      </c>
      <c r="D1" s="1" t="s">
        <v>19</v>
      </c>
    </row>
    <row r="2" spans="1:4" ht="15.75" customHeight="1" x14ac:dyDescent="0.4">
      <c r="A2" s="1">
        <v>2024</v>
      </c>
      <c r="B2" s="1">
        <v>195</v>
      </c>
      <c r="C2" s="1">
        <f>90*7</f>
        <v>630</v>
      </c>
      <c r="D2" s="1" t="s">
        <v>20</v>
      </c>
    </row>
    <row r="3" spans="1:4" ht="15.75" customHeight="1" x14ac:dyDescent="0.4">
      <c r="A3" s="1"/>
      <c r="B3" s="1">
        <v>150</v>
      </c>
      <c r="C3" s="1">
        <f>90*2+360</f>
        <v>540</v>
      </c>
      <c r="D3" s="1" t="s">
        <v>21</v>
      </c>
    </row>
    <row r="4" spans="1:4" ht="15.75" customHeight="1" x14ac:dyDescent="0.4">
      <c r="A4" s="1">
        <v>2025</v>
      </c>
      <c r="B4" s="1">
        <v>360</v>
      </c>
      <c r="C4" s="1">
        <f>240*12</f>
        <v>2880</v>
      </c>
      <c r="D4" s="1" t="s">
        <v>20</v>
      </c>
    </row>
    <row r="5" spans="1:4" ht="15.75" customHeight="1" x14ac:dyDescent="0.4">
      <c r="B5" s="1">
        <v>632</v>
      </c>
      <c r="C5" s="1">
        <f>90*21</f>
        <v>1890</v>
      </c>
      <c r="D5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"/>
  <sheetViews>
    <sheetView workbookViewId="0"/>
  </sheetViews>
  <sheetFormatPr defaultColWidth="12.609375" defaultRowHeight="15.75" customHeight="1" x14ac:dyDescent="0.4"/>
  <sheetData>
    <row r="1" spans="1:3" ht="15.75" customHeight="1" x14ac:dyDescent="0.4">
      <c r="A1" s="1" t="s">
        <v>22</v>
      </c>
      <c r="B1" s="1" t="s">
        <v>23</v>
      </c>
      <c r="C1" s="1" t="s">
        <v>24</v>
      </c>
    </row>
    <row r="2" spans="1:3" ht="15.75" customHeight="1" x14ac:dyDescent="0.4">
      <c r="A2" s="1">
        <v>25</v>
      </c>
      <c r="B2" s="1">
        <v>2</v>
      </c>
      <c r="C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pachete</vt:lpstr>
      <vt:lpstr>cursuri</vt:lpstr>
      <vt:lpstr>voluntari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Ignat Andrei</cp:lastModifiedBy>
  <dcterms:modified xsi:type="dcterms:W3CDTF">2026-01-31T06:30:47Z</dcterms:modified>
</cp:coreProperties>
</file>